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or" sheetId="1" r:id="rId4"/>
  </sheets>
  <definedNames/>
  <calcPr/>
</workbook>
</file>

<file path=xl/sharedStrings.xml><?xml version="1.0" encoding="utf-8"?>
<sst xmlns="http://schemas.openxmlformats.org/spreadsheetml/2006/main" count="69" uniqueCount="61">
  <si>
    <t>Zero2AI - Automation ROI Calculator</t>
  </si>
  <si>
    <t>Calculate your return on investment for AI automation</t>
  </si>
  <si>
    <t>Visit: zeero2ai.com</t>
  </si>
  <si>
    <t>YOUR INFORMATION</t>
  </si>
  <si>
    <t>Company Name</t>
  </si>
  <si>
    <t>Input</t>
  </si>
  <si>
    <t>Industry</t>
  </si>
  <si>
    <t>TIME SAVINGS</t>
  </si>
  <si>
    <t>Hours spent on task per week</t>
  </si>
  <si>
    <t>Hourly Cost (Salary + Overhead)</t>
  </si>
  <si>
    <t>Automation Type</t>
  </si>
  <si>
    <t>Full Automation</t>
  </si>
  <si>
    <t>Time Savings Percentage</t>
  </si>
  <si>
    <t>Hours Saved Per Week</t>
  </si>
  <si>
    <t>Monthly Time Savings</t>
  </si>
  <si>
    <t>Annual Time Savings</t>
  </si>
  <si>
    <t>COST ANALYSIS</t>
  </si>
  <si>
    <t>Monthly Labor Cost</t>
  </si>
  <si>
    <t>Annual Labor Savings</t>
  </si>
  <si>
    <t>Monthly Error Cost (10%)</t>
  </si>
  <si>
    <t>Error Reduction Savings (93%)</t>
  </si>
  <si>
    <t>Annual Error Savings</t>
  </si>
  <si>
    <t>REVENUE IMPACT</t>
  </si>
  <si>
    <t>Service Type</t>
  </si>
  <si>
    <t>AI Chatbot</t>
  </si>
  <si>
    <t>Current Monthly Revenue</t>
  </si>
  <si>
    <t>Your current business monthly revenue</t>
  </si>
  <si>
    <t>Revenue Increase %</t>
  </si>
  <si>
    <t>Monthly Revenue Increase</t>
  </si>
  <si>
    <t>Annual Revenue Increase</t>
  </si>
  <si>
    <t>INVESTMENT COST</t>
  </si>
  <si>
    <t>One-time Setup Cost</t>
  </si>
  <si>
    <t>zeerotoai.com/calculators/cost</t>
  </si>
  <si>
    <t>Monthly Maintenance Cost</t>
  </si>
  <si>
    <t>Leave 0$ if unsure</t>
  </si>
  <si>
    <t>Annual Maintenance Cost</t>
  </si>
  <si>
    <t>Total First Year Cost</t>
  </si>
  <si>
    <t>ROI SUMMARY</t>
  </si>
  <si>
    <t>Total Annual Savings</t>
  </si>
  <si>
    <t>Total Annual Revenue Increase</t>
  </si>
  <si>
    <t>Total Annual Benefit</t>
  </si>
  <si>
    <t>Total Investment (Year 1)</t>
  </si>
  <si>
    <t>Net Benefit (Year 1)</t>
  </si>
  <si>
    <t>ROI Percentage</t>
  </si>
  <si>
    <t>Payback Period (Months)</t>
  </si>
  <si>
    <t>3-Year Total ROI</t>
  </si>
  <si>
    <t>MONTHLY BREAKDOWN</t>
  </si>
  <si>
    <t>Month</t>
  </si>
  <si>
    <t>Investment</t>
  </si>
  <si>
    <t>Savings</t>
  </si>
  <si>
    <t>Revenue</t>
  </si>
  <si>
    <t>Net Benefit</t>
  </si>
  <si>
    <t>Cumulative Net Benefit</t>
  </si>
  <si>
    <t>Total</t>
  </si>
  <si>
    <t>SERVICE TYPE LOOKUP TABLE (Hide these rows)</t>
  </si>
  <si>
    <t>AI Automation Workflows</t>
  </si>
  <si>
    <t>Lead Generation System</t>
  </si>
  <si>
    <t>Customer Support Agent</t>
  </si>
  <si>
    <t>Social Media Automation</t>
  </si>
  <si>
    <t>E-commerce Automation</t>
  </si>
  <si>
    <t>Website/SaaS Development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</si>
</sst>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"/>
    <numFmt numFmtId="165" formatCode="0.0%"/>
    <numFmt numFmtId="166" formatCode="0.0"/>
    <numFmt numFmtId="167" formatCode="&quot;$&quot;#,##0.00"/>
  </numFmts>
  <fonts count="15">
    <font>
      <sz val="11.0"/>
      <color theme="1"/>
      <name val="Calibri"/>
      <scheme val="minor"/>
    </font>
    <font>
      <b/>
      <sz val="18.0"/>
      <color rgb="FF00D9FF"/>
      <name val="Calibri"/>
      <scheme val="minor"/>
    </font>
    <font>
      <i/>
      <sz val="11.0"/>
      <color rgb="FF6B7280"/>
      <name val="Calibri"/>
      <scheme val="minor"/>
    </font>
    <font>
      <u/>
      <color rgb="FF0000FF"/>
    </font>
    <font>
      <b/>
      <sz val="12.0"/>
      <color rgb="FFFFFFFF"/>
      <name val="Calibri"/>
      <scheme val="minor"/>
    </font>
    <font/>
    <font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b/>
      <sz val="16.0"/>
      <color rgb="FF000000"/>
      <name val="Calibri"/>
      <scheme val="minor"/>
    </font>
    <font>
      <b/>
      <sz val="12.0"/>
      <color theme="1"/>
      <name val="Calibri"/>
      <scheme val="minor"/>
    </font>
    <font>
      <b/>
      <sz val="14.0"/>
      <color theme="1"/>
      <name val="Calibri"/>
      <scheme val="minor"/>
    </font>
    <font>
      <b/>
      <sz val="16.0"/>
      <color theme="1"/>
      <name val="Calibri"/>
      <scheme val="minor"/>
    </font>
    <font>
      <b/>
      <color theme="1"/>
      <name val="Calibri"/>
      <scheme val="minor"/>
    </font>
    <font>
      <color theme="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E2540"/>
        <bgColor rgb="FF1E2540"/>
      </patternFill>
    </fill>
    <fill>
      <patternFill patternType="solid">
        <fgColor rgb="FFE0F2FE"/>
        <bgColor rgb="FFE0F2FE"/>
      </patternFill>
    </fill>
    <fill>
      <patternFill patternType="solid">
        <fgColor rgb="FFD1FAE5"/>
        <bgColor rgb="FFD1FAE5"/>
      </patternFill>
    </fill>
    <fill>
      <patternFill patternType="solid">
        <fgColor rgb="FFE5E7EB"/>
        <bgColor rgb="FFE5E7EB"/>
      </patternFill>
    </fill>
  </fills>
  <borders count="7">
    <border/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left" vertical="center"/>
    </xf>
    <xf borderId="2" fillId="0" fontId="5" numFmtId="0" xfId="0" applyBorder="1" applyFont="1"/>
    <xf borderId="0" fillId="0" fontId="6" numFmtId="0" xfId="0" applyAlignment="1" applyFont="1">
      <alignment vertical="bottom"/>
    </xf>
    <xf borderId="0" fillId="0" fontId="7" numFmtId="0" xfId="0" applyFont="1"/>
    <xf borderId="3" fillId="3" fontId="0" numFmtId="0" xfId="0" applyBorder="1" applyFill="1" applyFont="1"/>
    <xf borderId="3" fillId="3" fontId="0" numFmtId="0" xfId="0" applyAlignment="1" applyBorder="1" applyFont="1">
      <alignment readingOrder="0"/>
    </xf>
    <xf borderId="3" fillId="3" fontId="0" numFmtId="164" xfId="0" applyAlignment="1" applyBorder="1" applyFont="1" applyNumberFormat="1">
      <alignment readingOrder="0"/>
    </xf>
    <xf borderId="0" fillId="0" fontId="6" numFmtId="165" xfId="0" applyFont="1" applyNumberFormat="1"/>
    <xf borderId="0" fillId="0" fontId="6" numFmtId="166" xfId="0" applyFont="1" applyNumberFormat="1"/>
    <xf borderId="0" fillId="0" fontId="6" numFmtId="1" xfId="0" applyFont="1" applyNumberFormat="1"/>
    <xf borderId="0" fillId="0" fontId="6" numFmtId="164" xfId="0" applyFont="1" applyNumberFormat="1"/>
    <xf borderId="3" fillId="3" fontId="6" numFmtId="0" xfId="0" applyAlignment="1" applyBorder="1" applyFont="1">
      <alignment readingOrder="0"/>
    </xf>
    <xf borderId="3" fillId="3" fontId="6" numFmtId="167" xfId="0" applyAlignment="1" applyBorder="1" applyFont="1" applyNumberFormat="1">
      <alignment readingOrder="0"/>
    </xf>
    <xf borderId="0" fillId="0" fontId="8" numFmtId="0" xfId="0" applyAlignment="1" applyFont="1">
      <alignment vertical="bottom"/>
    </xf>
    <xf borderId="1" fillId="4" fontId="9" numFmtId="0" xfId="0" applyAlignment="1" applyBorder="1" applyFill="1" applyFont="1">
      <alignment horizontal="left" vertical="center"/>
    </xf>
    <xf borderId="4" fillId="0" fontId="5" numFmtId="0" xfId="0" applyBorder="1" applyFont="1"/>
    <xf borderId="5" fillId="4" fontId="9" numFmtId="0" xfId="0" applyAlignment="1" applyBorder="1" applyFont="1">
      <alignment horizontal="left"/>
    </xf>
    <xf borderId="6" fillId="4" fontId="10" numFmtId="164" xfId="0" applyBorder="1" applyFont="1" applyNumberFormat="1"/>
    <xf borderId="6" fillId="4" fontId="11" numFmtId="164" xfId="0" applyBorder="1" applyFont="1" applyNumberFormat="1"/>
    <xf borderId="6" fillId="4" fontId="12" numFmtId="9" xfId="0" applyBorder="1" applyFont="1" applyNumberFormat="1"/>
    <xf borderId="0" fillId="0" fontId="7" numFmtId="0" xfId="0" applyAlignment="1" applyFont="1">
      <alignment readingOrder="0"/>
    </xf>
    <xf borderId="6" fillId="4" fontId="10" numFmtId="166" xfId="0" applyBorder="1" applyFont="1" applyNumberFormat="1"/>
    <xf borderId="6" fillId="4" fontId="11" numFmtId="9" xfId="0" applyBorder="1" applyFont="1" applyNumberFormat="1"/>
    <xf borderId="3" fillId="5" fontId="13" numFmtId="0" xfId="0" applyBorder="1" applyFill="1" applyFont="1"/>
    <xf borderId="3" fillId="0" fontId="6" numFmtId="0" xfId="0" applyBorder="1" applyFont="1"/>
    <xf borderId="3" fillId="0" fontId="6" numFmtId="167" xfId="0" applyBorder="1" applyFont="1" applyNumberFormat="1"/>
    <xf borderId="3" fillId="0" fontId="6" numFmtId="164" xfId="0" applyBorder="1" applyFont="1" applyNumberFormat="1"/>
    <xf borderId="0" fillId="0" fontId="13" numFmtId="0" xfId="0" applyFont="1"/>
    <xf borderId="3" fillId="0" fontId="13" numFmtId="167" xfId="0" applyBorder="1" applyFont="1" applyNumberFormat="1"/>
    <xf borderId="3" fillId="0" fontId="13" numFmtId="164" xfId="0" applyBorder="1" applyFont="1" applyNumberFormat="1"/>
    <xf borderId="0" fillId="0" fontId="14" numFmtId="0" xfId="0" applyFont="1"/>
    <xf borderId="3" fillId="0" fontId="6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zero2ai.com/" TargetMode="External"/><Relationship Id="rId2" Type="http://schemas.openxmlformats.org/officeDocument/2006/relationships/hyperlink" Target="http://zeerotoai.com/calculators/cos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5.0"/>
    <col customWidth="1" min="3" max="5" width="18.0"/>
    <col customWidth="1" min="6" max="6" width="21.29"/>
    <col customWidth="1" min="7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B5" s="5"/>
      <c r="C5" s="6"/>
    </row>
    <row r="6">
      <c r="A6" s="7" t="s">
        <v>4</v>
      </c>
      <c r="B6" s="8"/>
      <c r="C6" s="6" t="s">
        <v>5</v>
      </c>
    </row>
    <row r="7">
      <c r="A7" s="7" t="s">
        <v>6</v>
      </c>
      <c r="B7" s="8"/>
      <c r="C7" s="6" t="s">
        <v>5</v>
      </c>
    </row>
    <row r="8">
      <c r="C8" s="6"/>
    </row>
    <row r="9">
      <c r="A9" s="4" t="s">
        <v>7</v>
      </c>
      <c r="B9" s="5"/>
      <c r="C9" s="6"/>
    </row>
    <row r="10">
      <c r="A10" s="7" t="s">
        <v>8</v>
      </c>
      <c r="B10" s="9">
        <v>20.0</v>
      </c>
      <c r="C10" s="6" t="s">
        <v>5</v>
      </c>
    </row>
    <row r="11">
      <c r="A11" s="7" t="s">
        <v>9</v>
      </c>
      <c r="B11" s="10">
        <v>50.0</v>
      </c>
      <c r="C11" s="6" t="s">
        <v>5</v>
      </c>
    </row>
    <row r="12">
      <c r="A12" s="7" t="s">
        <v>10</v>
      </c>
      <c r="B12" s="9" t="s">
        <v>11</v>
      </c>
      <c r="C12" s="6" t="s">
        <v>5</v>
      </c>
    </row>
    <row r="13">
      <c r="A13" s="7" t="s">
        <v>12</v>
      </c>
      <c r="B13" s="11">
        <f>IF(B12="Full Automation",0.875,0.5)</f>
        <v>0.875</v>
      </c>
      <c r="C13" s="6"/>
    </row>
    <row r="14">
      <c r="A14" s="7" t="s">
        <v>13</v>
      </c>
      <c r="B14" s="12">
        <f>B10*B13</f>
        <v>17.5</v>
      </c>
      <c r="C14" s="6"/>
    </row>
    <row r="15">
      <c r="A15" s="7" t="s">
        <v>14</v>
      </c>
      <c r="B15" s="12">
        <f>B14*4.33</f>
        <v>75.775</v>
      </c>
      <c r="C15" s="6"/>
    </row>
    <row r="16">
      <c r="A16" s="7" t="s">
        <v>15</v>
      </c>
      <c r="B16" s="13">
        <f>B14*52</f>
        <v>910</v>
      </c>
      <c r="C16" s="6"/>
    </row>
    <row r="17">
      <c r="C17" s="6"/>
    </row>
    <row r="18">
      <c r="A18" s="4" t="s">
        <v>16</v>
      </c>
      <c r="B18" s="5"/>
      <c r="C18" s="6"/>
    </row>
    <row r="19">
      <c r="A19" s="7" t="s">
        <v>17</v>
      </c>
      <c r="B19" s="14">
        <f>B11*B15</f>
        <v>3788.75</v>
      </c>
      <c r="C19" s="6"/>
    </row>
    <row r="20">
      <c r="A20" s="7" t="s">
        <v>18</v>
      </c>
      <c r="B20" s="14">
        <f>B11*B16</f>
        <v>45500</v>
      </c>
      <c r="C20" s="6"/>
    </row>
    <row r="21" ht="15.75" customHeight="1">
      <c r="A21" s="7" t="s">
        <v>19</v>
      </c>
      <c r="B21" s="14">
        <f>B19*0.1</f>
        <v>378.875</v>
      </c>
      <c r="C21" s="6"/>
    </row>
    <row r="22" ht="15.75" customHeight="1">
      <c r="A22" s="7" t="s">
        <v>20</v>
      </c>
      <c r="B22" s="14">
        <f>B21*0.93</f>
        <v>352.35375</v>
      </c>
      <c r="C22" s="6"/>
    </row>
    <row r="23" ht="15.75" customHeight="1">
      <c r="A23" s="7" t="s">
        <v>21</v>
      </c>
      <c r="B23" s="14">
        <f>B22*12</f>
        <v>4228.245</v>
      </c>
      <c r="C23" s="6"/>
    </row>
    <row r="24" ht="15.75" customHeight="1">
      <c r="C24" s="6"/>
    </row>
    <row r="25" ht="15.75" customHeight="1">
      <c r="A25" s="4" t="s">
        <v>22</v>
      </c>
      <c r="B25" s="5"/>
      <c r="C25" s="6"/>
    </row>
    <row r="26" ht="15.75" customHeight="1">
      <c r="A26" s="7" t="s">
        <v>23</v>
      </c>
      <c r="B26" s="15" t="s">
        <v>24</v>
      </c>
      <c r="C26" s="6" t="s">
        <v>5</v>
      </c>
    </row>
    <row r="27" ht="15.75" customHeight="1">
      <c r="A27" s="7" t="s">
        <v>25</v>
      </c>
      <c r="B27" s="10">
        <v>9500.0</v>
      </c>
      <c r="C27" s="6" t="s">
        <v>26</v>
      </c>
    </row>
    <row r="28" ht="15.75" customHeight="1">
      <c r="A28" s="7" t="s">
        <v>27</v>
      </c>
      <c r="B28" s="11">
        <f>IFERROR(VLOOKUP(TRIM(B26),$A$66:$B$72,2,FALSE),"")</f>
        <v>0.35</v>
      </c>
      <c r="C28" s="6"/>
    </row>
    <row r="29" ht="15.75" customHeight="1">
      <c r="A29" s="7" t="s">
        <v>28</v>
      </c>
      <c r="B29" s="14">
        <f>IF(B28="","",B27*B28)</f>
        <v>3325</v>
      </c>
      <c r="C29" s="6"/>
    </row>
    <row r="30" ht="15.75" customHeight="1">
      <c r="A30" s="7" t="s">
        <v>29</v>
      </c>
      <c r="B30" s="14">
        <f>IF(B29="","",B29*12)</f>
        <v>39900</v>
      </c>
      <c r="C30" s="6"/>
    </row>
    <row r="31" ht="15.75" customHeight="1">
      <c r="C31" s="6"/>
    </row>
    <row r="32" ht="15.75" customHeight="1">
      <c r="A32" s="4" t="s">
        <v>30</v>
      </c>
      <c r="B32" s="5"/>
      <c r="C32" s="6"/>
    </row>
    <row r="33" ht="15.75" customHeight="1">
      <c r="A33" s="7" t="s">
        <v>31</v>
      </c>
      <c r="B33" s="16">
        <v>5200.0</v>
      </c>
      <c r="C33" s="17" t="s">
        <v>32</v>
      </c>
    </row>
    <row r="34" ht="15.75" customHeight="1">
      <c r="A34" s="7" t="s">
        <v>33</v>
      </c>
      <c r="B34" s="10">
        <v>0.0</v>
      </c>
      <c r="C34" s="6" t="s">
        <v>34</v>
      </c>
    </row>
    <row r="35" ht="15.75" customHeight="1">
      <c r="A35" s="7" t="s">
        <v>35</v>
      </c>
      <c r="B35" s="14">
        <f>B34*12</f>
        <v>0</v>
      </c>
    </row>
    <row r="36" ht="15.75" customHeight="1">
      <c r="A36" s="7" t="s">
        <v>36</v>
      </c>
      <c r="B36" s="14">
        <f>B33+B35</f>
        <v>5200</v>
      </c>
    </row>
    <row r="37" ht="15.75" customHeight="1"/>
    <row r="38" ht="15.75" customHeight="1">
      <c r="A38" s="18" t="s">
        <v>37</v>
      </c>
      <c r="B38" s="19"/>
      <c r="C38" s="5"/>
    </row>
    <row r="39" ht="15.75" customHeight="1">
      <c r="A39" s="20"/>
    </row>
    <row r="40" ht="15.75" customHeight="1">
      <c r="A40" s="7" t="s">
        <v>38</v>
      </c>
      <c r="B40" s="21">
        <f>IF(SUM(C51:C62)=0,"",SUM(C51:C62))</f>
        <v>49728</v>
      </c>
    </row>
    <row r="41" ht="15.75" customHeight="1">
      <c r="A41" s="7" t="s">
        <v>39</v>
      </c>
      <c r="B41" s="21">
        <f>IF(SUM(D51:D62)=0,"",SUM(D51:D62))</f>
        <v>39900</v>
      </c>
    </row>
    <row r="42" ht="15.75" customHeight="1">
      <c r="A42" s="7" t="s">
        <v>40</v>
      </c>
      <c r="B42" s="22">
        <f>IF(OR(B40="",B41=""),"",B40+B41)</f>
        <v>89628</v>
      </c>
    </row>
    <row r="43" ht="15.75" customHeight="1">
      <c r="A43" s="7" t="s">
        <v>41</v>
      </c>
      <c r="B43" s="21">
        <f>IF(SUM(B51:B62)=0,"",SUM(B51:B62))</f>
        <v>5200</v>
      </c>
    </row>
    <row r="44" ht="15.75" customHeight="1">
      <c r="A44" s="7" t="s">
        <v>42</v>
      </c>
      <c r="B44" s="22">
        <f>IF(OR(B42="",B43=""),"",B42-B43)</f>
        <v>84428</v>
      </c>
    </row>
    <row r="45" ht="15.75" customHeight="1">
      <c r="A45" s="7" t="s">
        <v>43</v>
      </c>
      <c r="B45" s="23">
        <f>IF(OR(B44="",B43=""),"",B44/B43)</f>
        <v>16.23615385</v>
      </c>
    </row>
    <row r="46" ht="15.75" customHeight="1">
      <c r="A46" s="24" t="s">
        <v>44</v>
      </c>
      <c r="B46" s="25">
        <f>IF(OR(B43="",B42=""),"",(B43/(B42/12)))</f>
        <v>0.6962110055</v>
      </c>
    </row>
    <row r="47" ht="15.75" customHeight="1">
      <c r="A47" s="7" t="s">
        <v>45</v>
      </c>
      <c r="B47" s="26">
        <f>IF(OR(B42="",B43="",B35=""),"",((B42*3-B43-B35*2)/B43))</f>
        <v>50.70846154</v>
      </c>
    </row>
    <row r="48" ht="15.75" customHeight="1"/>
    <row r="49" ht="15.75" customHeight="1">
      <c r="A49" s="4" t="s">
        <v>46</v>
      </c>
      <c r="B49" s="5"/>
    </row>
    <row r="50" ht="15.75" customHeight="1">
      <c r="A50" s="27" t="s">
        <v>47</v>
      </c>
      <c r="B50" s="27" t="s">
        <v>48</v>
      </c>
      <c r="C50" s="27" t="s">
        <v>49</v>
      </c>
      <c r="D50" s="27" t="s">
        <v>50</v>
      </c>
      <c r="E50" s="27" t="s">
        <v>51</v>
      </c>
      <c r="F50" s="27" t="s">
        <v>52</v>
      </c>
    </row>
    <row r="51" ht="15.75" customHeight="1">
      <c r="A51" s="28">
        <v>1.0</v>
      </c>
      <c r="B51" s="29">
        <f>IF(OR(B33="",B34=""),"",B33+B34)</f>
        <v>5200</v>
      </c>
      <c r="C51" s="29">
        <f>ROUND((B20+B23)/12,0)</f>
        <v>4144</v>
      </c>
      <c r="D51" s="30">
        <f>IF(B29="","",B29)</f>
        <v>3325</v>
      </c>
      <c r="E51" s="29">
        <f t="shared" ref="E51:E62" si="1">IF(OR(B51="",C51="",D51=""),"",C51+D51-B51)</f>
        <v>2269</v>
      </c>
      <c r="F51" s="30">
        <f>IF(E51="","",E51)</f>
        <v>2269</v>
      </c>
    </row>
    <row r="52" ht="15.75" customHeight="1">
      <c r="A52" s="28">
        <v>2.0</v>
      </c>
      <c r="B52" s="30">
        <f>IF(B34="","",B34)</f>
        <v>0</v>
      </c>
      <c r="C52" s="29">
        <f>ROUND((B20+B23)/12,0)</f>
        <v>4144</v>
      </c>
      <c r="D52" s="30">
        <f>IF(B29="","",B29)</f>
        <v>3325</v>
      </c>
      <c r="E52" s="29">
        <f t="shared" si="1"/>
        <v>7469</v>
      </c>
      <c r="F52" s="30">
        <f t="shared" ref="F52:F62" si="2">IF(E52="",F51,F51+E52)</f>
        <v>9738</v>
      </c>
    </row>
    <row r="53" ht="15.75" customHeight="1">
      <c r="A53" s="28">
        <v>3.0</v>
      </c>
      <c r="B53" s="30">
        <f>IF(B34="","",B34)</f>
        <v>0</v>
      </c>
      <c r="C53" s="29">
        <f>ROUND((B20+B23)/12,0)</f>
        <v>4144</v>
      </c>
      <c r="D53" s="30">
        <f>IF(B29="","",B29)</f>
        <v>3325</v>
      </c>
      <c r="E53" s="29">
        <f t="shared" si="1"/>
        <v>7469</v>
      </c>
      <c r="F53" s="30">
        <f t="shared" si="2"/>
        <v>17207</v>
      </c>
    </row>
    <row r="54" ht="15.75" customHeight="1">
      <c r="A54" s="28">
        <v>4.0</v>
      </c>
      <c r="B54" s="30">
        <f>IF(B34="","",B34)</f>
        <v>0</v>
      </c>
      <c r="C54" s="29">
        <f>ROUND((B20+B23)/12,0)</f>
        <v>4144</v>
      </c>
      <c r="D54" s="30">
        <f>IF(B29="","",B29)</f>
        <v>3325</v>
      </c>
      <c r="E54" s="29">
        <f t="shared" si="1"/>
        <v>7469</v>
      </c>
      <c r="F54" s="30">
        <f t="shared" si="2"/>
        <v>24676</v>
      </c>
    </row>
    <row r="55" ht="15.75" customHeight="1">
      <c r="A55" s="28">
        <v>5.0</v>
      </c>
      <c r="B55" s="30">
        <f>IF(B34="","",B34)</f>
        <v>0</v>
      </c>
      <c r="C55" s="29">
        <f>ROUND((B20+B23)/12,0)</f>
        <v>4144</v>
      </c>
      <c r="D55" s="30">
        <f>IF(B29="","",B29)</f>
        <v>3325</v>
      </c>
      <c r="E55" s="29">
        <f t="shared" si="1"/>
        <v>7469</v>
      </c>
      <c r="F55" s="30">
        <f t="shared" si="2"/>
        <v>32145</v>
      </c>
    </row>
    <row r="56" ht="15.75" customHeight="1">
      <c r="A56" s="28">
        <v>6.0</v>
      </c>
      <c r="B56" s="30">
        <f>IF(B34="","",B34)</f>
        <v>0</v>
      </c>
      <c r="C56" s="29">
        <f>ROUND((B20+B23)/12,0)</f>
        <v>4144</v>
      </c>
      <c r="D56" s="30">
        <f>IF(B29="","",B29)</f>
        <v>3325</v>
      </c>
      <c r="E56" s="29">
        <f t="shared" si="1"/>
        <v>7469</v>
      </c>
      <c r="F56" s="30">
        <f t="shared" si="2"/>
        <v>39614</v>
      </c>
    </row>
    <row r="57" ht="15.75" customHeight="1">
      <c r="A57" s="28">
        <v>7.0</v>
      </c>
      <c r="B57" s="30">
        <f>IF(B34="","",B34)</f>
        <v>0</v>
      </c>
      <c r="C57" s="29">
        <f>ROUND((B20+B23)/12,0)</f>
        <v>4144</v>
      </c>
      <c r="D57" s="30">
        <f>IF(B29="","",B29)</f>
        <v>3325</v>
      </c>
      <c r="E57" s="29">
        <f t="shared" si="1"/>
        <v>7469</v>
      </c>
      <c r="F57" s="30">
        <f t="shared" si="2"/>
        <v>47083</v>
      </c>
    </row>
    <row r="58" ht="15.75" customHeight="1">
      <c r="A58" s="28">
        <v>8.0</v>
      </c>
      <c r="B58" s="30">
        <f>IF(B34="","",B34)</f>
        <v>0</v>
      </c>
      <c r="C58" s="29">
        <f>ROUND((B20+B23)/12,0)</f>
        <v>4144</v>
      </c>
      <c r="D58" s="30">
        <f>IF(B29="","",B29)</f>
        <v>3325</v>
      </c>
      <c r="E58" s="29">
        <f t="shared" si="1"/>
        <v>7469</v>
      </c>
      <c r="F58" s="30">
        <f t="shared" si="2"/>
        <v>54552</v>
      </c>
    </row>
    <row r="59" ht="15.75" customHeight="1">
      <c r="A59" s="28">
        <v>9.0</v>
      </c>
      <c r="B59" s="30">
        <f>IF(B34="","",B34)</f>
        <v>0</v>
      </c>
      <c r="C59" s="29">
        <f>ROUND((B20+B23)/12,0)</f>
        <v>4144</v>
      </c>
      <c r="D59" s="30">
        <f>IF(B29="","",B29)</f>
        <v>3325</v>
      </c>
      <c r="E59" s="29">
        <f t="shared" si="1"/>
        <v>7469</v>
      </c>
      <c r="F59" s="30">
        <f t="shared" si="2"/>
        <v>62021</v>
      </c>
    </row>
    <row r="60" ht="15.75" customHeight="1">
      <c r="A60" s="28">
        <v>10.0</v>
      </c>
      <c r="B60" s="30">
        <f>IF(B34="","",B34)</f>
        <v>0</v>
      </c>
      <c r="C60" s="29">
        <f>ROUND((B20+B23)/12,0)</f>
        <v>4144</v>
      </c>
      <c r="D60" s="30">
        <f>IF(B29="","",B29)</f>
        <v>3325</v>
      </c>
      <c r="E60" s="29">
        <f t="shared" si="1"/>
        <v>7469</v>
      </c>
      <c r="F60" s="30">
        <f t="shared" si="2"/>
        <v>69490</v>
      </c>
    </row>
    <row r="61" ht="15.75" customHeight="1">
      <c r="A61" s="28">
        <v>11.0</v>
      </c>
      <c r="B61" s="30">
        <f>IF(B34="","",B34)</f>
        <v>0</v>
      </c>
      <c r="C61" s="29">
        <f>ROUND((B20+B23)/12,0)</f>
        <v>4144</v>
      </c>
      <c r="D61" s="30">
        <f>IF(B29="","",B29)</f>
        <v>3325</v>
      </c>
      <c r="E61" s="29">
        <f t="shared" si="1"/>
        <v>7469</v>
      </c>
      <c r="F61" s="30">
        <f t="shared" si="2"/>
        <v>76959</v>
      </c>
    </row>
    <row r="62" ht="15.75" customHeight="1">
      <c r="A62" s="28">
        <v>12.0</v>
      </c>
      <c r="B62" s="30">
        <f>IF(B34="","",B34)</f>
        <v>0</v>
      </c>
      <c r="C62" s="29">
        <f>ROUND((B20+B23)/12,0)</f>
        <v>4144</v>
      </c>
      <c r="D62" s="30">
        <f>IF(B29="","",B29)</f>
        <v>3325</v>
      </c>
      <c r="E62" s="29">
        <f t="shared" si="1"/>
        <v>7469</v>
      </c>
      <c r="F62" s="30">
        <f t="shared" si="2"/>
        <v>84428</v>
      </c>
    </row>
    <row r="63" ht="15.75" customHeight="1">
      <c r="A63" s="31" t="s">
        <v>53</v>
      </c>
      <c r="B63" s="32">
        <f t="shared" ref="B63:E63" si="3">SUM(B51:B62)</f>
        <v>5200</v>
      </c>
      <c r="C63" s="32">
        <f t="shared" si="3"/>
        <v>49728</v>
      </c>
      <c r="D63" s="33">
        <f t="shared" si="3"/>
        <v>39900</v>
      </c>
      <c r="E63" s="32">
        <f t="shared" si="3"/>
        <v>84428</v>
      </c>
    </row>
    <row r="64" ht="15.75" customHeight="1">
      <c r="A64" s="34" t="s">
        <v>54</v>
      </c>
    </row>
    <row r="65" ht="15.75" hidden="1" customHeight="1">
      <c r="A65" s="27" t="s">
        <v>23</v>
      </c>
      <c r="B65" s="27" t="s">
        <v>27</v>
      </c>
    </row>
    <row r="66" ht="15.75" hidden="1" customHeight="1">
      <c r="A66" s="28" t="s">
        <v>55</v>
      </c>
      <c r="B66" s="35">
        <v>0.25</v>
      </c>
    </row>
    <row r="67" ht="15.75" hidden="1" customHeight="1">
      <c r="A67" s="28" t="s">
        <v>24</v>
      </c>
      <c r="B67" s="35">
        <v>0.35</v>
      </c>
    </row>
    <row r="68" ht="15.75" hidden="1" customHeight="1">
      <c r="A68" s="28" t="s">
        <v>56</v>
      </c>
      <c r="B68" s="35">
        <v>0.45</v>
      </c>
    </row>
    <row r="69" ht="15.75" hidden="1" customHeight="1">
      <c r="A69" s="28" t="s">
        <v>57</v>
      </c>
      <c r="B69" s="35">
        <v>0.3</v>
      </c>
    </row>
    <row r="70" ht="15.75" hidden="1" customHeight="1">
      <c r="A70" s="28" t="s">
        <v>58</v>
      </c>
      <c r="B70" s="35">
        <v>0.2</v>
      </c>
    </row>
    <row r="71" ht="15.75" hidden="1" customHeight="1">
      <c r="A71" s="28" t="s">
        <v>59</v>
      </c>
      <c r="B71" s="35">
        <v>0.4</v>
      </c>
    </row>
    <row r="72" ht="15.75" hidden="1" customHeight="1">
      <c r="A72" s="28" t="s">
        <v>60</v>
      </c>
      <c r="B72" s="35">
        <v>0.5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32:B32"/>
    <mergeCell ref="A38:C38"/>
    <mergeCell ref="A49:B49"/>
    <mergeCell ref="A1:C1"/>
    <mergeCell ref="A2:C2"/>
    <mergeCell ref="A3:B3"/>
    <mergeCell ref="A5:B5"/>
    <mergeCell ref="A9:B9"/>
    <mergeCell ref="A18:B18"/>
    <mergeCell ref="A25:B25"/>
  </mergeCells>
  <dataValidations>
    <dataValidation type="list" allowBlank="1" showErrorMessage="1" sqref="B7">
      <formula1>"AI Automation,E-commerce,Services,Healthcare,Other"</formula1>
    </dataValidation>
    <dataValidation type="list" allowBlank="1" showErrorMessage="1" sqref="B12">
      <formula1>"Full Automation,Partial Automation"</formula1>
    </dataValidation>
    <dataValidation type="list" allowBlank="1" showErrorMessage="1" sqref="B26">
      <formula1>"AI Automation Workflows,AI Chatbot,Lead Generation System,Customer Support Agent,Social Media Automation,E-commerce Automation,Website/SaaS Development"</formula1>
    </dataValidation>
  </dataValidations>
  <hyperlinks>
    <hyperlink r:id="rId1" ref="A3"/>
    <hyperlink r:id="rId2" ref="C33"/>
  </hyperlinks>
  <printOptions/>
  <pageMargins bottom="1.0" footer="0.0" header="0.0" left="0.75" right="0.75" top="1.0"/>
  <pageSetup orientation="landscape"/>
  <drawing r:id="rId3"/>
</worksheet>
</file>